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qi Saiyed\Desktop\DA\Excel\"/>
    </mc:Choice>
  </mc:AlternateContent>
  <xr:revisionPtr revIDLastSave="0" documentId="13_ncr:1_{1E6E21A8-A3ED-4421-8C11-CFF4EC0CBCAE}" xr6:coauthVersionLast="47" xr6:coauthVersionMax="47" xr10:uidLastSave="{00000000-0000-0000-0000-000000000000}"/>
  <bookViews>
    <workbookView xWindow="-108" yWindow="-108" windowWidth="23256" windowHeight="13896" xr2:uid="{C56525C9-4AD1-49A4-AEBB-9F95B6B38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K8" i="1"/>
  <c r="L10" i="1"/>
  <c r="K10" i="1"/>
  <c r="L9" i="1"/>
  <c r="K9" i="1"/>
  <c r="M3" i="1"/>
  <c r="M4" i="1"/>
  <c r="M5" i="1"/>
  <c r="M2" i="1"/>
  <c r="L3" i="1"/>
  <c r="L4" i="1"/>
  <c r="L5" i="1"/>
  <c r="L2" i="1"/>
  <c r="K3" i="1"/>
  <c r="K4" i="1"/>
  <c r="K5" i="1"/>
  <c r="K2" i="1"/>
  <c r="I4" i="1"/>
  <c r="I3" i="1"/>
  <c r="I2" i="1"/>
  <c r="C14" i="1"/>
  <c r="E13" i="1"/>
  <c r="C13" i="1"/>
  <c r="A14" i="1"/>
  <c r="A18" i="1"/>
  <c r="A17" i="1"/>
  <c r="A16" i="1"/>
  <c r="A15" i="1"/>
  <c r="A13" i="1"/>
</calcChain>
</file>

<file path=xl/sharedStrings.xml><?xml version="1.0" encoding="utf-8"?>
<sst xmlns="http://schemas.openxmlformats.org/spreadsheetml/2006/main" count="44" uniqueCount="26">
  <si>
    <t>Name</t>
  </si>
  <si>
    <t>Rollno</t>
  </si>
  <si>
    <t>Marks</t>
  </si>
  <si>
    <t>T</t>
  </si>
  <si>
    <t>Z</t>
  </si>
  <si>
    <t>S</t>
  </si>
  <si>
    <t>I</t>
  </si>
  <si>
    <t>Taqi Saiyed</t>
  </si>
  <si>
    <t>find</t>
  </si>
  <si>
    <t>left</t>
  </si>
  <si>
    <t>right</t>
  </si>
  <si>
    <t>mid</t>
  </si>
  <si>
    <t>mid+find</t>
  </si>
  <si>
    <t>left+find</t>
  </si>
  <si>
    <t>taqi.ti,Saiyed</t>
  </si>
  <si>
    <t>Grade</t>
  </si>
  <si>
    <t>a</t>
  </si>
  <si>
    <t>b</t>
  </si>
  <si>
    <t>c</t>
  </si>
  <si>
    <t>d</t>
  </si>
  <si>
    <t>countif</t>
  </si>
  <si>
    <t>sumif</t>
  </si>
  <si>
    <t>avgif</t>
  </si>
  <si>
    <t>grade</t>
  </si>
  <si>
    <t>&gt;=30</t>
  </si>
  <si>
    <t>&lt;=20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</si>
</sst>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5042-5DEF-4C68-BC90-86561BADABB7}">
  <dimension ref="A1:M18"/>
  <sheetViews>
    <sheetView tabSelected="1" topLeftCell="A3" zoomScale="120" zoomScaleNormal="120" workbookViewId="0">
      <selection activeCell="J19" sqref="J19"/>
    </sheetView>
  </sheetViews>
  <sheetFormatPr defaultRowHeight="14.4" x14ac:dyDescent="0.3"/>
  <cols>
    <col min="11" max="11" width="10" bestFit="1" customWidth="1"/>
  </cols>
  <sheetData>
    <row r="1" spans="1:13" x14ac:dyDescent="0.3">
      <c r="A1" t="s">
        <v>0</v>
      </c>
      <c r="B1" t="s">
        <v>1</v>
      </c>
      <c r="C1" t="s">
        <v>2</v>
      </c>
      <c r="F1" t="s">
        <v>15</v>
      </c>
      <c r="G1" t="s">
        <v>2</v>
      </c>
      <c r="J1" s="2" t="s">
        <v>23</v>
      </c>
      <c r="K1" s="2" t="s">
        <v>20</v>
      </c>
      <c r="L1" s="2" t="s">
        <v>21</v>
      </c>
      <c r="M1" s="2" t="s">
        <v>22</v>
      </c>
    </row>
    <row r="2" spans="1:13" x14ac:dyDescent="0.3">
      <c r="A2" t="s">
        <v>3</v>
      </c>
      <c r="B2">
        <v>1</v>
      </c>
      <c r="C2">
        <v>50</v>
      </c>
      <c r="F2" t="s">
        <v>16</v>
      </c>
      <c r="G2">
        <v>10</v>
      </c>
      <c r="H2" s="1" t="s">
        <v>20</v>
      </c>
      <c r="I2" s="1">
        <f>COUNTIF(F2:F9,F2)</f>
        <v>3</v>
      </c>
      <c r="J2" s="2" t="s">
        <v>16</v>
      </c>
      <c r="K2" s="2">
        <f>COUNTIF($F$2:$F$9,$J2)</f>
        <v>3</v>
      </c>
      <c r="L2" s="2">
        <f>SUMIF($F$2:$F$9,$J2,$G$2:$G$9)</f>
        <v>40</v>
      </c>
      <c r="M2" s="2">
        <f>AVERAGEIF($F$2:$F$9,$J2,$G$2:$G$9)</f>
        <v>13.333333333333334</v>
      </c>
    </row>
    <row r="3" spans="1:13" x14ac:dyDescent="0.3">
      <c r="A3" t="s">
        <v>4</v>
      </c>
      <c r="B3">
        <v>2</v>
      </c>
      <c r="C3">
        <v>60</v>
      </c>
      <c r="F3" t="s">
        <v>17</v>
      </c>
      <c r="G3">
        <v>20</v>
      </c>
      <c r="H3" s="1" t="s">
        <v>21</v>
      </c>
      <c r="I3" s="1">
        <f>SUMIF(F2:F9,F3,G2:G9)</f>
        <v>30</v>
      </c>
      <c r="J3" s="2" t="s">
        <v>17</v>
      </c>
      <c r="K3" s="2">
        <f t="shared" ref="K3:K5" si="0">COUNTIF($F$2:$F$9,$J3)</f>
        <v>2</v>
      </c>
      <c r="L3" s="2">
        <f t="shared" ref="L3:L5" si="1">SUMIF($F$2:$F$9,$J3,$G$2:$G$9)</f>
        <v>30</v>
      </c>
      <c r="M3" s="2">
        <f t="shared" ref="M3:M5" si="2">AVERAGEIF($F$2:$F$9,$J3,$G$2:$G$9)</f>
        <v>15</v>
      </c>
    </row>
    <row r="4" spans="1:13" x14ac:dyDescent="0.3">
      <c r="A4" t="s">
        <v>5</v>
      </c>
      <c r="B4">
        <v>3</v>
      </c>
      <c r="C4">
        <v>70</v>
      </c>
      <c r="F4" t="s">
        <v>18</v>
      </c>
      <c r="G4">
        <v>40</v>
      </c>
      <c r="H4" s="1" t="s">
        <v>22</v>
      </c>
      <c r="I4" s="1">
        <f>AVERAGEIF(F2:F9,F4,G2:G9)</f>
        <v>40</v>
      </c>
      <c r="J4" s="2" t="s">
        <v>18</v>
      </c>
      <c r="K4" s="2">
        <f t="shared" si="0"/>
        <v>1</v>
      </c>
      <c r="L4" s="2">
        <f t="shared" si="1"/>
        <v>40</v>
      </c>
      <c r="M4" s="2">
        <f t="shared" si="2"/>
        <v>40</v>
      </c>
    </row>
    <row r="5" spans="1:13" x14ac:dyDescent="0.3">
      <c r="A5" t="s">
        <v>5</v>
      </c>
      <c r="B5">
        <v>4</v>
      </c>
      <c r="C5">
        <v>70</v>
      </c>
      <c r="F5" t="s">
        <v>19</v>
      </c>
      <c r="G5">
        <v>10</v>
      </c>
      <c r="J5" s="2" t="s">
        <v>19</v>
      </c>
      <c r="K5" s="2">
        <f t="shared" si="0"/>
        <v>2</v>
      </c>
      <c r="L5" s="2">
        <f t="shared" si="1"/>
        <v>20</v>
      </c>
      <c r="M5" s="2">
        <f t="shared" si="2"/>
        <v>10</v>
      </c>
    </row>
    <row r="6" spans="1:13" x14ac:dyDescent="0.3">
      <c r="A6" t="s">
        <v>6</v>
      </c>
      <c r="B6">
        <v>5</v>
      </c>
      <c r="C6">
        <v>50</v>
      </c>
      <c r="F6" t="s">
        <v>16</v>
      </c>
      <c r="G6">
        <v>20</v>
      </c>
      <c r="K6" t="s">
        <v>18</v>
      </c>
      <c r="L6" t="s">
        <v>17</v>
      </c>
    </row>
    <row r="7" spans="1:13" x14ac:dyDescent="0.3">
      <c r="F7" t="s">
        <v>17</v>
      </c>
      <c r="G7">
        <v>10</v>
      </c>
      <c r="K7" t="s">
        <v>24</v>
      </c>
      <c r="L7" t="s">
        <v>25</v>
      </c>
    </row>
    <row r="8" spans="1:13" x14ac:dyDescent="0.3">
      <c r="F8" t="s">
        <v>16</v>
      </c>
      <c r="G8">
        <v>10</v>
      </c>
      <c r="J8" s="2" t="s">
        <v>20</v>
      </c>
      <c r="K8">
        <f>COUNTIFS($F$2:$F$9,K$6,$G$2:$G$9,K$7)</f>
        <v>1</v>
      </c>
      <c r="L8">
        <f>COUNTIFS($F$2:$F$9,L$6,$G$2:$G$9,L$7)</f>
        <v>2</v>
      </c>
    </row>
    <row r="9" spans="1:13" x14ac:dyDescent="0.3">
      <c r="F9" t="s">
        <v>19</v>
      </c>
      <c r="G9">
        <v>10</v>
      </c>
      <c r="J9" s="2" t="s">
        <v>21</v>
      </c>
      <c r="K9">
        <f>SUMIFS($G$2:$G$9,$G$2:$G$9,K$7)</f>
        <v>40</v>
      </c>
      <c r="L9">
        <f>SUMIFS($G$2:$G$9,$G$2:$G$9,L$7)</f>
        <v>90</v>
      </c>
    </row>
    <row r="10" spans="1:13" x14ac:dyDescent="0.3">
      <c r="J10" s="2" t="s">
        <v>22</v>
      </c>
      <c r="K10">
        <f>AVERAGEIFS($G$2:$G$9,$G$2:$G$9,K$7,$F$2:$F$9,K$6)</f>
        <v>40</v>
      </c>
      <c r="L10">
        <f>AVERAGEIFS($G$2:$G$9,$G$2:$G$9,L$7,$F$2:$F$9,L$6)</f>
        <v>15</v>
      </c>
    </row>
    <row r="12" spans="1:13" x14ac:dyDescent="0.3">
      <c r="A12" t="s">
        <v>7</v>
      </c>
      <c r="C12" t="s">
        <v>14</v>
      </c>
    </row>
    <row r="13" spans="1:13" x14ac:dyDescent="0.3">
      <c r="A13">
        <f>FIND("a",A12,3)</f>
        <v>7</v>
      </c>
      <c r="B13" t="s">
        <v>8</v>
      </c>
      <c r="C13" t="str">
        <f>MID(C12,FIND(".",C12)+1,FIND(",",C12))</f>
        <v>ti,Saiye</v>
      </c>
      <c r="E13">
        <f>FIND(",",C12)</f>
        <v>8</v>
      </c>
    </row>
    <row r="14" spans="1:13" x14ac:dyDescent="0.3">
      <c r="A14" t="str">
        <f>LEFT(A12,3)</f>
        <v>Taq</v>
      </c>
      <c r="B14" t="s">
        <v>9</v>
      </c>
      <c r="C14" t="str">
        <f>MID(C12,FIND(".",C12)+1,FIND(",",C12)-FIND(".",C12)-1)</f>
        <v>ti</v>
      </c>
    </row>
    <row r="15" spans="1:13" x14ac:dyDescent="0.3">
      <c r="A15" t="str">
        <f>RIGHT(A12,4)</f>
        <v>iyed</v>
      </c>
      <c r="B15" t="s">
        <v>10</v>
      </c>
    </row>
    <row r="16" spans="1:13" x14ac:dyDescent="0.3">
      <c r="A16" t="str">
        <f>MID(A12,4,3)</f>
        <v>i S</v>
      </c>
      <c r="B16" t="s">
        <v>11</v>
      </c>
    </row>
    <row r="17" spans="1:2" x14ac:dyDescent="0.3">
      <c r="A17" t="str">
        <f>MID(A12,FIND(" ",A12)+1,2)</f>
        <v>Sa</v>
      </c>
      <c r="B17" t="s">
        <v>12</v>
      </c>
    </row>
    <row r="18" spans="1:2" x14ac:dyDescent="0.3">
      <c r="A18" t="str">
        <f>LEFT(A12,FIND(" ",A12)-3)</f>
        <v>Ta</v>
      </c>
      <c r="B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Taqi Saiyed</dc:creator>
  <cp:lastModifiedBy>Taqi Saiyed</cp:lastModifiedBy>
  <dcterms:created xsi:type="dcterms:W3CDTF">2026-06-22T18:05:47Z</dcterms:created>
  <dcterms:modified xsi:type="dcterms:W3CDTF">2026-06-28T12:18:33Z</dcterms:modified>
</cp:coreProperties>
</file>